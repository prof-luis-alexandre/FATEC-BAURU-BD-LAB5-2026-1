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ados por Ano" sheetId="2" state="visible" r:id="rId2"/>
    <sheet xmlns:r="http://schemas.openxmlformats.org/officeDocument/2006/relationships" name="Causas de Morte" sheetId="3" state="visible" r:id="rId3"/>
    <sheet xmlns:r="http://schemas.openxmlformats.org/officeDocument/2006/relationships" name="Por Região" sheetId="4" state="visible" r:id="rId4"/>
    <sheet xmlns:r="http://schemas.openxmlformats.org/officeDocument/2006/relationships" name="Documenta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5C99"/>
      <sz val="9"/>
    </font>
    <font>
      <name val="Arial"/>
      <b val="1"/>
      <color rgb="001F5C99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Óbitos por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'Resumo'!$B$10:$B$12</f>
            </numRef>
          </cat>
          <val>
            <numRef>
              <f>'Resumo'!$C$10:$C$12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Óbitos por Região</a:t>
            </a:r>
          </a:p>
        </rich>
      </tx>
    </title>
    <plotArea>
      <pieChart>
        <varyColors val="1"/>
        <ser>
          <idx val="0"/>
          <order val="0"/>
          <tx>
            <strRef>
              <f>'Resumo'!E9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'Resumo'!$D$10:$D$14</f>
            </numRef>
          </cat>
          <val>
            <numRef>
              <f>'Resumo'!$E$10:$E$14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20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10" customHeight="1"/>
    <row r="2" ht="40" customHeight="1">
      <c r="B2" s="1" t="inlineStr">
        <is>
          <t>SIM/DATASUS — Painel de Mortalidade Brasil (2020–2022)</t>
        </is>
      </c>
    </row>
    <row r="3" ht="10" customHeight="1"/>
    <row r="4" ht="20" customHeight="1"/>
    <row r="5" ht="35" customHeight="1">
      <c r="B5" s="2" t="inlineStr">
        <is>
          <t>Total de Óbitos</t>
        </is>
      </c>
      <c r="C5" s="2" t="inlineStr">
        <is>
          <t>Duplicatas Removidas</t>
        </is>
      </c>
      <c r="D5" s="2" t="inlineStr">
        <is>
          <t>Ano Mais Letal</t>
        </is>
      </c>
      <c r="E5" s="2" t="inlineStr">
        <is>
          <t>Dados Atualizados em</t>
        </is>
      </c>
    </row>
    <row r="6" ht="25" customHeight="1">
      <c r="B6" s="3" t="inlineStr">
        <is>
          <t>3.831.940</t>
        </is>
      </c>
      <c r="C6" s="3" t="inlineStr">
        <is>
          <t>15.272</t>
        </is>
      </c>
      <c r="D6" s="3" t="inlineStr">
        <is>
          <t>2021</t>
        </is>
      </c>
      <c r="E6" s="3" t="inlineStr">
        <is>
          <t>Março/2026</t>
        </is>
      </c>
    </row>
    <row r="7" ht="14" customHeight="1"/>
    <row r="8" ht="18" customHeight="1">
      <c r="B8" s="4" t="inlineStr">
        <is>
          <t>Óbitos por Ano</t>
        </is>
      </c>
      <c r="D8" s="4" t="inlineStr">
        <is>
          <t>Óbitos por Região</t>
        </is>
      </c>
    </row>
    <row r="9" ht="16" customHeight="1">
      <c r="B9" s="5" t="inlineStr">
        <is>
          <t>Ano</t>
        </is>
      </c>
      <c r="C9" s="5" t="inlineStr">
        <is>
          <t>Total de Óbitos</t>
        </is>
      </c>
      <c r="D9" s="6" t="inlineStr">
        <is>
          <t>Região</t>
        </is>
      </c>
      <c r="E9" s="5" t="inlineStr">
        <is>
          <t>Óbitos</t>
        </is>
      </c>
    </row>
    <row r="10" ht="16" customHeight="1">
      <c r="B10" s="7" t="inlineStr">
        <is>
          <t>2020</t>
        </is>
      </c>
      <c r="C10" s="8" t="n">
        <v>1489024</v>
      </c>
      <c r="D10" s="9" t="inlineStr">
        <is>
          <t>Sudeste</t>
        </is>
      </c>
      <c r="E10" s="8" t="n">
        <v>1724376</v>
      </c>
    </row>
    <row r="11" ht="16" customHeight="1">
      <c r="B11" s="10" t="inlineStr">
        <is>
          <t>2021</t>
        </is>
      </c>
      <c r="C11" s="11" t="n">
        <v>1316744</v>
      </c>
      <c r="D11" s="12" t="inlineStr">
        <is>
          <t>Nordeste</t>
        </is>
      </c>
      <c r="E11" s="11" t="n">
        <v>803710</v>
      </c>
    </row>
    <row r="12" ht="16" customHeight="1">
      <c r="B12" s="7" t="inlineStr">
        <is>
          <t>2022</t>
        </is>
      </c>
      <c r="C12" s="8" t="n">
        <v>1026172</v>
      </c>
      <c r="D12" s="9" t="inlineStr">
        <is>
          <t>Sul</t>
        </is>
      </c>
      <c r="E12" s="8" t="n">
        <v>574791</v>
      </c>
    </row>
    <row r="13" ht="16" customHeight="1">
      <c r="D13" s="12" t="inlineStr">
        <is>
          <t>Centro-Oeste</t>
        </is>
      </c>
      <c r="E13" s="11" t="n">
        <v>383194</v>
      </c>
    </row>
    <row r="14" ht="16" customHeight="1">
      <c r="B14" s="4" t="inlineStr">
        <is>
          <t>Distribuição por Sexo</t>
        </is>
      </c>
      <c r="D14" s="13" t="inlineStr">
        <is>
          <t>Top 5 Causas (CID-10)</t>
        </is>
      </c>
      <c r="E14" s="14" t="n"/>
    </row>
    <row r="15" ht="16" customHeight="1">
      <c r="B15" s="6" t="inlineStr">
        <is>
          <t>Sexo</t>
        </is>
      </c>
      <c r="C15" s="5" t="inlineStr">
        <is>
          <t>Óbitos</t>
        </is>
      </c>
      <c r="D15" s="6" t="inlineStr">
        <is>
          <t>Capítulo CID-10</t>
        </is>
      </c>
      <c r="E15" s="5" t="inlineStr">
        <is>
          <t>Óbitos</t>
        </is>
      </c>
    </row>
    <row r="16" ht="16" customHeight="1">
      <c r="B16" s="9" t="inlineStr">
        <is>
          <t>Masculino</t>
        </is>
      </c>
      <c r="C16" s="8" t="n">
        <v>2101547</v>
      </c>
      <c r="D16" s="15" t="inlineStr">
        <is>
          <t>IX — Ap. Circulatório</t>
        </is>
      </c>
      <c r="E16" s="16" t="n">
        <v>1032624</v>
      </c>
    </row>
    <row r="17" ht="16" customHeight="1">
      <c r="B17" s="12" t="inlineStr">
        <is>
          <t>Feminino</t>
        </is>
      </c>
      <c r="C17" s="11" t="n">
        <v>1659823</v>
      </c>
      <c r="D17" s="17" t="inlineStr">
        <is>
          <t>II — Neoplasias</t>
        </is>
      </c>
      <c r="E17" s="18" t="n">
        <v>650430</v>
      </c>
    </row>
    <row r="18" ht="16" customHeight="1">
      <c r="B18" s="9" t="inlineStr">
        <is>
          <t>Ignorado</t>
        </is>
      </c>
      <c r="C18" s="8" t="n">
        <v>70570</v>
      </c>
      <c r="D18" s="15" t="inlineStr">
        <is>
          <t>X — Ap. Respiratório</t>
        </is>
      </c>
      <c r="E18" s="16" t="n">
        <v>498217</v>
      </c>
    </row>
    <row r="19" ht="16" customHeight="1">
      <c r="D19" s="17" t="inlineStr">
        <is>
          <t>XX — Causas Externas</t>
        </is>
      </c>
      <c r="E19" s="18" t="n">
        <v>344376</v>
      </c>
    </row>
    <row r="20" ht="16" customHeight="1">
      <c r="D20" s="15" t="inlineStr">
        <is>
          <t>XI — Ap. Digestivo</t>
        </is>
      </c>
      <c r="E20" s="16" t="n">
        <v>191097</v>
      </c>
    </row>
  </sheetData>
  <mergeCells count="9">
    <mergeCell ref="D8:E8"/>
    <mergeCell ref="D5"/>
    <mergeCell ref="D14:E14"/>
    <mergeCell ref="B14:C14"/>
    <mergeCell ref="B2:E2"/>
    <mergeCell ref="B5"/>
    <mergeCell ref="B8:C8"/>
    <mergeCell ref="C5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2" customWidth="1" min="4" max="4"/>
    <col width="3" customWidth="1" min="5" max="5"/>
  </cols>
  <sheetData>
    <row r="2">
      <c r="B2" s="19" t="inlineStr">
        <is>
          <t>Série Temporal de Óbitos — 2020 a 2022</t>
        </is>
      </c>
    </row>
    <row r="4">
      <c r="B4" s="13" t="inlineStr">
        <is>
          <t>Ano</t>
        </is>
      </c>
      <c r="C4" s="13" t="inlineStr">
        <is>
          <t>Total de Óbitos</t>
        </is>
      </c>
      <c r="D4" s="13" t="inlineStr">
        <is>
          <t>Variação vs. Ano Anterior</t>
        </is>
      </c>
    </row>
    <row r="5">
      <c r="B5" s="10" t="n">
        <v>2020</v>
      </c>
      <c r="C5" s="11" t="n">
        <v>1489024</v>
      </c>
      <c r="D5" s="20" t="inlineStr">
        <is>
          <t>—</t>
        </is>
      </c>
    </row>
    <row r="6">
      <c r="B6" s="7" t="n">
        <v>2021</v>
      </c>
      <c r="C6" s="8" t="n">
        <v>1316744</v>
      </c>
      <c r="D6" s="8">
        <f>C5-C6</f>
        <v/>
      </c>
    </row>
    <row r="7">
      <c r="B7" s="10" t="n">
        <v>2022</v>
      </c>
      <c r="C7" s="11" t="n">
        <v>1026172</v>
      </c>
      <c r="D7" s="11">
        <f>C6-C7</f>
        <v/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2" customWidth="1" min="3" max="3"/>
    <col width="3" customWidth="1" min="4" max="4"/>
  </cols>
  <sheetData>
    <row r="2">
      <c r="B2" s="19" t="inlineStr">
        <is>
          <t>Principais Causas de Morte — CID-10 (2020–2022)</t>
        </is>
      </c>
    </row>
    <row r="4">
      <c r="B4" s="13" t="inlineStr">
        <is>
          <t>Capítulo CID-10</t>
        </is>
      </c>
      <c r="C4" s="13" t="inlineStr">
        <is>
          <t>Total de Óbitos</t>
        </is>
      </c>
    </row>
    <row r="5">
      <c r="B5" s="12" t="inlineStr">
        <is>
          <t>IX — Doenças do Aparelho Circulatório</t>
        </is>
      </c>
      <c r="C5" s="11" t="n">
        <v>1032624</v>
      </c>
    </row>
    <row r="6">
      <c r="B6" s="9" t="inlineStr">
        <is>
          <t>II — Neoplasias (Tumores)</t>
        </is>
      </c>
      <c r="C6" s="8" t="n">
        <v>650430</v>
      </c>
    </row>
    <row r="7">
      <c r="B7" s="12" t="inlineStr">
        <is>
          <t>X — Doenças do Aparelho Respiratório</t>
        </is>
      </c>
      <c r="C7" s="11" t="n">
        <v>498217</v>
      </c>
    </row>
    <row r="8">
      <c r="B8" s="9" t="inlineStr">
        <is>
          <t>XX — Causas Externas de Morbidade e Mortalidade</t>
        </is>
      </c>
      <c r="C8" s="8" t="n">
        <v>344376</v>
      </c>
    </row>
    <row r="9">
      <c r="B9" s="12" t="inlineStr">
        <is>
          <t>XI — Doenças do Aparelho Digestivo</t>
        </is>
      </c>
      <c r="C9" s="11" t="n">
        <v>191097</v>
      </c>
    </row>
    <row r="10">
      <c r="B10" s="9" t="inlineStr">
        <is>
          <t>I — Algumas Doenças Infecciosas e Parasitárias</t>
        </is>
      </c>
      <c r="C10" s="8" t="n">
        <v>172835</v>
      </c>
    </row>
    <row r="11">
      <c r="B11" s="12" t="inlineStr">
        <is>
          <t>XIV — Doenças do Aparelho Geniturinário</t>
        </is>
      </c>
      <c r="C11" s="11" t="n">
        <v>89640</v>
      </c>
    </row>
    <row r="12">
      <c r="B12" s="9" t="inlineStr">
        <is>
          <t>IV — Doenças Endócrinas, Nutricionais e Metabólicas</t>
        </is>
      </c>
      <c r="C12" s="8" t="n">
        <v>87241</v>
      </c>
    </row>
    <row r="13">
      <c r="B13" s="12" t="inlineStr">
        <is>
          <t>VI — Doenças do Sistema Nervoso</t>
        </is>
      </c>
      <c r="C13" s="11" t="n">
        <v>64812</v>
      </c>
    </row>
    <row r="14">
      <c r="B14" s="9" t="inlineStr">
        <is>
          <t>Outros Capítulos</t>
        </is>
      </c>
      <c r="C14" s="8" t="n">
        <v>700772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2" customWidth="1" min="3" max="3"/>
    <col width="3" customWidth="1" min="4" max="4"/>
  </cols>
  <sheetData>
    <row r="2">
      <c r="B2" s="19" t="inlineStr">
        <is>
          <t>Distribuição de Óbitos por Região do Brasil (2020–2022)</t>
        </is>
      </c>
    </row>
    <row r="4">
      <c r="B4" s="13" t="inlineStr">
        <is>
          <t>Região</t>
        </is>
      </c>
      <c r="C4" s="13" t="inlineStr">
        <is>
          <t>Total de Óbitos</t>
        </is>
      </c>
    </row>
    <row r="5">
      <c r="B5" s="12" t="inlineStr">
        <is>
          <t>Sudeste</t>
        </is>
      </c>
      <c r="C5" s="11" t="n">
        <v>1724376</v>
      </c>
    </row>
    <row r="6">
      <c r="B6" s="9" t="inlineStr">
        <is>
          <t>Nordeste</t>
        </is>
      </c>
      <c r="C6" s="8" t="n">
        <v>803710</v>
      </c>
    </row>
    <row r="7">
      <c r="B7" s="12" t="inlineStr">
        <is>
          <t>Sul</t>
        </is>
      </c>
      <c r="C7" s="11" t="n">
        <v>574791</v>
      </c>
    </row>
    <row r="8">
      <c r="B8" s="9" t="inlineStr">
        <is>
          <t>Centro-Oeste</t>
        </is>
      </c>
      <c r="C8" s="8" t="n">
        <v>383194</v>
      </c>
    </row>
    <row r="9">
      <c r="B9" s="12" t="inlineStr">
        <is>
          <t>Norte</t>
        </is>
      </c>
      <c r="C9" s="11" t="n">
        <v>345869</v>
      </c>
    </row>
    <row r="10">
      <c r="B10" s="21" t="inlineStr">
        <is>
          <t>TOTAL</t>
        </is>
      </c>
      <c r="C10" s="22">
        <f>SUM(C5:C9)</f>
        <v/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  <col width="3" customWidth="1" min="4" max="4"/>
  </cols>
  <sheetData>
    <row r="2">
      <c r="B2" s="19" t="inlineStr">
        <is>
          <t>Documentação — SIM/DATASUS Mortalidade 2020–2022</t>
        </is>
      </c>
    </row>
    <row r="4" ht="20" customHeight="1">
      <c r="B4" s="23" t="inlineStr">
        <is>
          <t>Campo</t>
        </is>
      </c>
      <c r="C4" s="23" t="inlineStr">
        <is>
          <t>Descrição</t>
        </is>
      </c>
    </row>
    <row r="5" ht="20" customHeight="1">
      <c r="B5" s="24" t="inlineStr">
        <is>
          <t>Fonte</t>
        </is>
      </c>
      <c r="C5" s="9" t="inlineStr">
        <is>
          <t>DATASUS — Ministério da Saúde do Brasil</t>
        </is>
      </c>
    </row>
    <row r="6" ht="20" customHeight="1">
      <c r="B6" s="25" t="inlineStr">
        <is>
          <t>Cobertura Temporal</t>
        </is>
      </c>
      <c r="C6" s="12" t="inlineStr">
        <is>
          <t>2020, 2021 e 2022</t>
        </is>
      </c>
    </row>
    <row r="7" ht="20" customHeight="1">
      <c r="B7" s="24" t="inlineStr">
        <is>
          <t>Total de Registros</t>
        </is>
      </c>
      <c r="C7" s="9" t="inlineStr">
        <is>
          <t>3.831.940 óbitos após limpeza</t>
        </is>
      </c>
    </row>
    <row r="8" ht="20" customHeight="1">
      <c r="B8" s="25" t="inlineStr">
        <is>
          <t>Formato Original</t>
        </is>
      </c>
      <c r="C8" s="12" t="inlineStr">
        <is>
          <t>DBF (dBase III+), convertido para CSV</t>
        </is>
      </c>
    </row>
    <row r="9" ht="20" customHeight="1">
      <c r="B9" s="24" t="inlineStr">
        <is>
          <t>URL de Acesso</t>
        </is>
      </c>
      <c r="C9" s="9" t="inlineStr">
        <is>
          <t>https://datasus.saude.gov.br/mortalidade-desde-1979-pela-cid-10</t>
        </is>
      </c>
    </row>
    <row r="10" ht="20" customHeight="1">
      <c r="B10" s="25" t="inlineStr">
        <is>
          <t>Encoding</t>
        </is>
      </c>
      <c r="C10" s="12" t="inlineStr">
        <is>
          <t>UTF-8 (padronizado na Etapa 2)</t>
        </is>
      </c>
    </row>
    <row r="11" ht="20" customHeight="1">
      <c r="B11" s="24" t="inlineStr">
        <is>
          <t>Classificação de Causas</t>
        </is>
      </c>
      <c r="C11" s="9" t="inlineStr">
        <is>
          <t>CID-10 (Classificação Internacional de Doenças, 10ª ed.)</t>
        </is>
      </c>
    </row>
    <row r="12" ht="20" customHeight="1">
      <c r="B12" s="25" t="inlineStr">
        <is>
          <t>Tratamento Aplicado</t>
        </is>
      </c>
      <c r="C12" s="12" t="inlineStr">
        <is>
          <t>Remoção de duplicatas, padronização de datas, decodificação de campos, tratamento de nulos</t>
        </is>
      </c>
    </row>
    <row r="13" ht="20" customHeight="1">
      <c r="B13" s="24" t="inlineStr">
        <is>
          <t>Responsável pelo ETL</t>
        </is>
      </c>
      <c r="C13" s="9" t="inlineStr">
        <is>
          <t>João Pedro Gomes de Souza</t>
        </is>
      </c>
    </row>
    <row r="14" ht="20" customHeight="1">
      <c r="B14" s="25" t="inlineStr">
        <is>
          <t>Data de Processamento</t>
        </is>
      </c>
      <c r="C14" s="12" t="inlineStr">
        <is>
          <t>Março de 2026</t>
        </is>
      </c>
    </row>
    <row r="15" ht="20" customHeight="1">
      <c r="B15" s="24" t="inlineStr">
        <is>
          <t>Licença dos Dados</t>
        </is>
      </c>
      <c r="C15" s="9" t="inlineStr">
        <is>
          <t>Dados públicos — uso livre conforme política do DATASUS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2026-05-19T16:59:02Z</dcterms:created>
  <dcterms:modified xmlns:dcterms="http://purl.org/dc/terms/" xmlns:xsi="http://www.w3.org/2001/XMLSchema-instance" xsi:type="dcterms:W3CDTF">2026-05-19T16:59:02Z</dcterms:modified>
</cp:coreProperties>
</file>